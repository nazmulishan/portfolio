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Free Cash Flow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;(#,##0.0)"/>
    <numFmt numFmtId="165" formatCode="0.0%;(0.0%)"/>
    <numFmt numFmtId="166" formatCode="0.0000"/>
    <numFmt numFmtId="167" formatCode="0.00%;(0.00%)"/>
    <numFmt numFmtId="168" formatCode="#,##0.0"/>
    <numFmt numFmtId="169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sz val="10.5"/>
    </font>
    <font>
      <name val="Calibri"/>
      <b val="1"/>
      <color rgb="00FFFFFF"/>
      <sz val="11"/>
    </font>
    <font>
      <name val="Calibri"/>
      <b val="1"/>
      <color rgb="00FFFFFF"/>
      <sz val="10.5"/>
    </font>
    <font>
      <name val="Calibri"/>
      <b val="1"/>
      <sz val="10.5"/>
    </font>
    <font>
      <name val="Calibri"/>
      <b val="1"/>
      <color rgb="00000000"/>
      <sz val="10.5"/>
    </font>
    <font>
      <name val="Calibri"/>
      <color rgb="00000000"/>
      <sz val="10.5"/>
    </font>
    <font>
      <name val="Calibri"/>
      <sz val="10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 indent="1"/>
    </xf>
    <xf numFmtId="165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165" fontId="6" fillId="3" borderId="0" applyAlignment="1" pivotButton="0" quotePrefix="0" xfId="0">
      <alignment horizontal="right"/>
    </xf>
    <xf numFmtId="10" fontId="6" fillId="3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7" fontId="6" fillId="3" borderId="0" applyAlignment="1" pivotButton="0" quotePrefix="0" xfId="0">
      <alignment horizontal="right"/>
    </xf>
    <xf numFmtId="2" fontId="6" fillId="3" borderId="0" applyAlignment="1" pivotButton="0" quotePrefix="0" xfId="0">
      <alignment horizontal="right"/>
    </xf>
    <xf numFmtId="167" fontId="6" fillId="4" borderId="0" applyAlignment="1" pivotButton="0" quotePrefix="0" xfId="0">
      <alignment horizontal="right"/>
    </xf>
    <xf numFmtId="167" fontId="7" fillId="4" borderId="0" applyAlignment="1" pivotButton="0" quotePrefix="0" xfId="0">
      <alignment horizontal="right"/>
    </xf>
    <xf numFmtId="167" fontId="6" fillId="5" borderId="0" applyAlignment="1" pivotButton="0" quotePrefix="0" xfId="0">
      <alignment horizontal="right"/>
    </xf>
    <xf numFmtId="168" fontId="6" fillId="5" borderId="0" applyAlignment="1" pivotButton="0" quotePrefix="0" xfId="0">
      <alignment horizontal="right"/>
    </xf>
    <xf numFmtId="169" fontId="4" fillId="2" borderId="0" applyAlignment="1" pivotButton="0" quotePrefix="0" xfId="0">
      <alignment horizontal="center"/>
    </xf>
    <xf numFmtId="10" fontId="4" fillId="2" borderId="0" applyAlignment="1" pivotButton="0" quotePrefix="0" xfId="0">
      <alignment horizontal="center"/>
    </xf>
    <xf numFmtId="168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Ørsted A/S — DCF Valuation Model</t>
        </is>
      </c>
    </row>
    <row r="3">
      <c r="B3" s="2" t="inlineStr">
        <is>
          <t>Assumptions and key drivers (DKK billions, except per-share and ratios)</t>
        </is>
      </c>
    </row>
    <row r="4">
      <c r="B4" s="2" t="inlineStr">
        <is>
          <t>Author: Md Nazmul Islam Ishan  ·  Illustrative model</t>
        </is>
      </c>
    </row>
    <row r="6">
      <c r="B6" s="3" t="inlineStr">
        <is>
          <t>1. Revenue and operating drivers</t>
        </is>
      </c>
      <c r="C6" s="4" t="n"/>
      <c r="D6" s="4" t="n"/>
      <c r="E6" s="4" t="n"/>
      <c r="F6" s="4" t="n"/>
      <c r="G6" s="4" t="n"/>
      <c r="H6" s="4" t="n"/>
    </row>
    <row r="7">
      <c r="C7" s="5" t="inlineStr">
        <is>
          <t>2024A</t>
        </is>
      </c>
      <c r="D7" s="5" t="inlineStr">
        <is>
          <t>2025E</t>
        </is>
      </c>
      <c r="E7" s="5" t="inlineStr">
        <is>
          <t>2026E</t>
        </is>
      </c>
      <c r="F7" s="5" t="inlineStr">
        <is>
          <t>2027E</t>
        </is>
      </c>
      <c r="G7" s="5" t="inlineStr">
        <is>
          <t>2028E</t>
        </is>
      </c>
      <c r="H7" s="5" t="inlineStr">
        <is>
          <t>2029E</t>
        </is>
      </c>
    </row>
    <row r="8">
      <c r="B8" s="6" t="inlineStr">
        <is>
          <t>Revenue (DKK bn)</t>
        </is>
      </c>
      <c r="C8" s="7" t="n">
        <v>71.40000000000001</v>
      </c>
      <c r="D8" s="8">
        <f>C8*(1+C9)</f>
        <v/>
      </c>
      <c r="E8" s="8">
        <f>D8*(1+D9)</f>
        <v/>
      </c>
      <c r="F8" s="8">
        <f>E8*(1+E9)</f>
        <v/>
      </c>
      <c r="G8" s="8">
        <f>F8*(1+F9)</f>
        <v/>
      </c>
      <c r="H8" s="8">
        <f>G8*(1+G9)</f>
        <v/>
      </c>
    </row>
    <row r="9">
      <c r="B9" s="9" t="inlineStr">
        <is>
          <t>Revenue growth %</t>
        </is>
      </c>
      <c r="C9" s="10" t="n">
        <v>0</v>
      </c>
      <c r="D9" s="10" t="n">
        <v>0.06</v>
      </c>
      <c r="E9" s="10" t="n">
        <v>0.07000000000000001</v>
      </c>
      <c r="F9" s="10" t="n">
        <v>0.07000000000000001</v>
      </c>
      <c r="G9" s="10" t="n">
        <v>0.05</v>
      </c>
      <c r="H9" s="10" t="n">
        <v>0.04</v>
      </c>
    </row>
    <row r="10">
      <c r="B10" s="9" t="inlineStr">
        <is>
          <t>EBITDA margin %</t>
        </is>
      </c>
      <c r="C10" s="10" t="n">
        <v>0.245</v>
      </c>
      <c r="D10" s="10" t="n">
        <v>0.255</v>
      </c>
      <c r="E10" s="10" t="n">
        <v>0.26</v>
      </c>
      <c r="F10" s="10" t="n">
        <v>0.265</v>
      </c>
      <c r="G10" s="10" t="n">
        <v>0.265</v>
      </c>
      <c r="H10" s="10" t="n">
        <v>0.26</v>
      </c>
    </row>
    <row r="11">
      <c r="B11" s="9" t="inlineStr">
        <is>
          <t>D&amp;A as % revenue</t>
        </is>
      </c>
      <c r="C11" s="10" t="n">
        <v>0.11</v>
      </c>
      <c r="D11" s="10" t="n">
        <v>0.11</v>
      </c>
      <c r="E11" s="10" t="n">
        <v>0.108</v>
      </c>
      <c r="F11" s="10" t="n">
        <v>0.105</v>
      </c>
      <c r="G11" s="10" t="n">
        <v>0.102</v>
      </c>
      <c r="H11" s="10" t="n">
        <v>0.1</v>
      </c>
    </row>
    <row r="12">
      <c r="B12" s="9" t="inlineStr">
        <is>
          <t>Effective tax rate %</t>
        </is>
      </c>
      <c r="C12" s="10" t="n">
        <v>0.22</v>
      </c>
      <c r="D12" s="10" t="n">
        <v>0.22</v>
      </c>
      <c r="E12" s="10" t="n">
        <v>0.22</v>
      </c>
      <c r="F12" s="10" t="n">
        <v>0.22</v>
      </c>
      <c r="G12" s="10" t="n">
        <v>0.22</v>
      </c>
      <c r="H12" s="10" t="n">
        <v>0.22</v>
      </c>
    </row>
    <row r="14">
      <c r="B14" s="3" t="inlineStr">
        <is>
          <t>2. Capex and working capital</t>
        </is>
      </c>
      <c r="C14" s="4" t="n"/>
      <c r="D14" s="4" t="n"/>
      <c r="E14" s="4" t="n"/>
      <c r="F14" s="4" t="n"/>
      <c r="G14" s="4" t="n"/>
      <c r="H14" s="4" t="n"/>
    </row>
    <row r="15">
      <c r="C15" s="5" t="inlineStr">
        <is>
          <t>2024A</t>
        </is>
      </c>
      <c r="D15" s="5" t="inlineStr">
        <is>
          <t>2025E</t>
        </is>
      </c>
      <c r="E15" s="5" t="inlineStr">
        <is>
          <t>2026E</t>
        </is>
      </c>
      <c r="F15" s="5" t="inlineStr">
        <is>
          <t>2027E</t>
        </is>
      </c>
      <c r="G15" s="5" t="inlineStr">
        <is>
          <t>2028E</t>
        </is>
      </c>
      <c r="H15" s="5" t="inlineStr">
        <is>
          <t>2029E</t>
        </is>
      </c>
    </row>
    <row r="16">
      <c r="B16" s="9" t="inlineStr">
        <is>
          <t>Capex as % revenue</t>
        </is>
      </c>
      <c r="C16" s="10" t="n">
        <v>0.32</v>
      </c>
      <c r="D16" s="10" t="n">
        <v>0.3</v>
      </c>
      <c r="E16" s="10" t="n">
        <v>0.26</v>
      </c>
      <c r="F16" s="10" t="n">
        <v>0.22</v>
      </c>
      <c r="G16" s="10" t="n">
        <v>0.18</v>
      </c>
      <c r="H16" s="10" t="n">
        <v>0.14</v>
      </c>
    </row>
    <row r="17">
      <c r="B17" s="9" t="inlineStr">
        <is>
          <t>Working capital change (% rev)</t>
        </is>
      </c>
      <c r="C17" s="10" t="n">
        <v>0.02</v>
      </c>
      <c r="D17" s="10" t="n">
        <v>0.02</v>
      </c>
      <c r="E17" s="10" t="n">
        <v>0.015</v>
      </c>
      <c r="F17" s="10" t="n">
        <v>0.012</v>
      </c>
      <c r="G17" s="10" t="n">
        <v>0.01</v>
      </c>
      <c r="H17" s="10" t="n">
        <v>0.01</v>
      </c>
    </row>
    <row r="19">
      <c r="B19" s="3" t="inlineStr">
        <is>
          <t>3. Terminal value and discounting</t>
        </is>
      </c>
      <c r="C19" s="4" t="n"/>
      <c r="D19" s="4" t="n"/>
      <c r="E19" s="4" t="n"/>
      <c r="F19" s="4" t="n"/>
      <c r="G19" s="4" t="n"/>
      <c r="H19" s="4" t="n"/>
    </row>
    <row r="20">
      <c r="B20" s="11" t="inlineStr">
        <is>
          <t>Terminal growth rate (g)</t>
        </is>
      </c>
      <c r="C20" s="12" t="n">
        <v>0.02</v>
      </c>
    </row>
    <row r="21">
      <c r="B21" s="11" t="inlineStr">
        <is>
          <t>Discount rate (WACC) — see WACC sheet</t>
        </is>
      </c>
      <c r="C21" s="13">
        <f>WACC!C15</f>
        <v/>
      </c>
    </row>
    <row r="23">
      <c r="B23" s="3" t="inlineStr">
        <is>
          <t>4. Capital structure and shares</t>
        </is>
      </c>
      <c r="C23" s="4" t="n"/>
      <c r="D23" s="4" t="n"/>
      <c r="E23" s="4" t="n"/>
      <c r="F23" s="4" t="n"/>
      <c r="G23" s="4" t="n"/>
      <c r="H23" s="4" t="n"/>
    </row>
    <row r="24">
      <c r="B24" s="11" t="inlineStr">
        <is>
          <t>Net debt (DKK bn) — most recent reporting</t>
        </is>
      </c>
      <c r="C24" s="14" t="n">
        <v>53</v>
      </c>
    </row>
    <row r="25">
      <c r="B25" s="11" t="inlineStr">
        <is>
          <t>Diluted shares outstanding (millions)</t>
        </is>
      </c>
      <c r="C25" s="14" t="n">
        <v>420.1</v>
      </c>
    </row>
    <row r="27">
      <c r="B27" s="2" t="inlineStr">
        <is>
          <t>Note: All figures are illustrative for modelling demonstration. Re-validate against latest Ørsted Annual Report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Income Statement Forecast (DKK bn)</t>
        </is>
      </c>
    </row>
    <row r="4">
      <c r="C4" s="5" t="inlineStr">
        <is>
          <t>2024A</t>
        </is>
      </c>
      <c r="D4" s="5" t="inlineStr">
        <is>
          <t>2025E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5" t="inlineStr">
        <is>
          <t>2029E</t>
        </is>
      </c>
    </row>
    <row r="5">
      <c r="B5" s="6" t="inlineStr">
        <is>
          <t>Revenue</t>
        </is>
      </c>
      <c r="C5" s="7">
        <f>Assumptions!C8</f>
        <v/>
      </c>
      <c r="D5" s="7">
        <f>Assumptions!D8</f>
        <v/>
      </c>
      <c r="E5" s="7">
        <f>Assumptions!E8</f>
        <v/>
      </c>
      <c r="F5" s="7">
        <f>Assumptions!F8</f>
        <v/>
      </c>
      <c r="G5" s="7">
        <f>Assumptions!G8</f>
        <v/>
      </c>
      <c r="H5" s="7">
        <f>Assumptions!H8</f>
        <v/>
      </c>
    </row>
    <row r="6">
      <c r="B6" s="11" t="inlineStr">
        <is>
          <t>EBITDA</t>
        </is>
      </c>
      <c r="C6" s="8">
        <f>Assumptions!C8*Assumptions!C10</f>
        <v/>
      </c>
      <c r="D6" s="8">
        <f>Assumptions!D8*Assumptions!D10</f>
        <v/>
      </c>
      <c r="E6" s="8">
        <f>Assumptions!E8*Assumptions!E10</f>
        <v/>
      </c>
      <c r="F6" s="8">
        <f>Assumptions!F8*Assumptions!F10</f>
        <v/>
      </c>
      <c r="G6" s="8">
        <f>Assumptions!G8*Assumptions!G10</f>
        <v/>
      </c>
      <c r="H6" s="8">
        <f>Assumptions!H8*Assumptions!H10</f>
        <v/>
      </c>
    </row>
    <row r="7">
      <c r="B7" s="11" t="inlineStr">
        <is>
          <t>(-) Depreciation &amp; amortisation</t>
        </is>
      </c>
      <c r="C7" s="8">
        <f>-Assumptions!C8*Assumptions!C11</f>
        <v/>
      </c>
      <c r="D7" s="8">
        <f>-Assumptions!D8*Assumptions!D11</f>
        <v/>
      </c>
      <c r="E7" s="8">
        <f>-Assumptions!E8*Assumptions!E11</f>
        <v/>
      </c>
      <c r="F7" s="8">
        <f>-Assumptions!F8*Assumptions!F11</f>
        <v/>
      </c>
      <c r="G7" s="8">
        <f>-Assumptions!G8*Assumptions!G11</f>
        <v/>
      </c>
      <c r="H7" s="8">
        <f>-Assumptions!H8*Assumptions!H11</f>
        <v/>
      </c>
    </row>
    <row r="8">
      <c r="B8" s="6" t="inlineStr">
        <is>
          <t>EBIT</t>
        </is>
      </c>
      <c r="C8" s="15">
        <f>C6+C7</f>
        <v/>
      </c>
      <c r="D8" s="15">
        <f>D6+D7</f>
        <v/>
      </c>
      <c r="E8" s="15">
        <f>E6+E7</f>
        <v/>
      </c>
      <c r="F8" s="15">
        <f>F6+F7</f>
        <v/>
      </c>
      <c r="G8" s="15">
        <f>G6+G7</f>
        <v/>
      </c>
      <c r="H8" s="15">
        <f>H6+H7</f>
        <v/>
      </c>
    </row>
    <row r="9">
      <c r="B9" s="11" t="inlineStr">
        <is>
          <t>(-) Tax</t>
        </is>
      </c>
      <c r="C9" s="8">
        <f>-C8*Assumptions!C12</f>
        <v/>
      </c>
      <c r="D9" s="8">
        <f>-D8*Assumptions!D12</f>
        <v/>
      </c>
      <c r="E9" s="8">
        <f>-E8*Assumptions!E12</f>
        <v/>
      </c>
      <c r="F9" s="8">
        <f>-F8*Assumptions!F12</f>
        <v/>
      </c>
      <c r="G9" s="8">
        <f>-G8*Assumptions!G12</f>
        <v/>
      </c>
      <c r="H9" s="8">
        <f>-H8*Assumptions!H12</f>
        <v/>
      </c>
    </row>
    <row r="10">
      <c r="B10" s="6" t="inlineStr">
        <is>
          <t>NOPAT (EBIT after tax)</t>
        </is>
      </c>
      <c r="C10" s="14">
        <f>C8+C9</f>
        <v/>
      </c>
      <c r="D10" s="14">
        <f>D8+D9</f>
        <v/>
      </c>
      <c r="E10" s="14">
        <f>E8+E9</f>
        <v/>
      </c>
      <c r="F10" s="14">
        <f>F8+F9</f>
        <v/>
      </c>
      <c r="G10" s="14">
        <f>G8+G9</f>
        <v/>
      </c>
      <c r="H10" s="14">
        <f>H8+H9</f>
        <v/>
      </c>
    </row>
    <row r="13">
      <c r="B13" s="2" t="inlineStr">
        <is>
          <t>Margin checks (% of revenue)</t>
        </is>
      </c>
    </row>
    <row r="14">
      <c r="C14" s="5" t="inlineStr">
        <is>
          <t>2024A</t>
        </is>
      </c>
      <c r="D14" s="5" t="inlineStr">
        <is>
          <t>2025E</t>
        </is>
      </c>
      <c r="E14" s="5" t="inlineStr">
        <is>
          <t>2026E</t>
        </is>
      </c>
      <c r="F14" s="5" t="inlineStr">
        <is>
          <t>2027E</t>
        </is>
      </c>
      <c r="G14" s="5" t="inlineStr">
        <is>
          <t>2028E</t>
        </is>
      </c>
      <c r="H14" s="5" t="inlineStr">
        <is>
          <t>2029E</t>
        </is>
      </c>
    </row>
    <row r="15">
      <c r="B15" s="9" t="inlineStr">
        <is>
          <t>EBITDA margin</t>
        </is>
      </c>
      <c r="C15" s="10">
        <f>C6/C5</f>
        <v/>
      </c>
      <c r="D15" s="10">
        <f>D6/D5</f>
        <v/>
      </c>
      <c r="E15" s="10">
        <f>E6/E5</f>
        <v/>
      </c>
      <c r="F15" s="10">
        <f>F6/F5</f>
        <v/>
      </c>
      <c r="G15" s="10">
        <f>G6/G5</f>
        <v/>
      </c>
      <c r="H15" s="10">
        <f>H6/H5</f>
        <v/>
      </c>
    </row>
    <row r="16">
      <c r="B16" s="9" t="inlineStr">
        <is>
          <t>EBIT margin</t>
        </is>
      </c>
      <c r="C16" s="10">
        <f>C8/C5</f>
        <v/>
      </c>
      <c r="D16" s="10">
        <f>D8/D5</f>
        <v/>
      </c>
      <c r="E16" s="10">
        <f>E8/E5</f>
        <v/>
      </c>
      <c r="F16" s="10">
        <f>F8/F5</f>
        <v/>
      </c>
      <c r="G16" s="10">
        <f>G8/G5</f>
        <v/>
      </c>
      <c r="H16" s="10">
        <f>H8/H5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Free Cash Flow to Firm (DKK bn)</t>
        </is>
      </c>
    </row>
    <row r="4">
      <c r="C4" s="5" t="inlineStr">
        <is>
          <t>2024A</t>
        </is>
      </c>
      <c r="D4" s="5" t="inlineStr">
        <is>
          <t>2025E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5" t="inlineStr">
        <is>
          <t>2029E</t>
        </is>
      </c>
    </row>
    <row r="5">
      <c r="B5" s="11" t="inlineStr">
        <is>
          <t>NOPAT</t>
        </is>
      </c>
      <c r="C5" s="8">
        <f>'Income Statement'!C10</f>
        <v/>
      </c>
      <c r="D5" s="8">
        <f>'Income Statement'!D10</f>
        <v/>
      </c>
      <c r="E5" s="8">
        <f>'Income Statement'!E10</f>
        <v/>
      </c>
      <c r="F5" s="8">
        <f>'Income Statement'!F10</f>
        <v/>
      </c>
      <c r="G5" s="8">
        <f>'Income Statement'!G10</f>
        <v/>
      </c>
      <c r="H5" s="8">
        <f>'Income Statement'!H10</f>
        <v/>
      </c>
    </row>
    <row r="6">
      <c r="B6" s="11" t="inlineStr">
        <is>
          <t>(+) D&amp;A (add back)</t>
        </is>
      </c>
      <c r="C6" s="8">
        <f>-'Income Statement'!C7</f>
        <v/>
      </c>
      <c r="D6" s="8">
        <f>-'Income Statement'!D7</f>
        <v/>
      </c>
      <c r="E6" s="8">
        <f>-'Income Statement'!E7</f>
        <v/>
      </c>
      <c r="F6" s="8">
        <f>-'Income Statement'!F7</f>
        <v/>
      </c>
      <c r="G6" s="8">
        <f>-'Income Statement'!G7</f>
        <v/>
      </c>
      <c r="H6" s="8">
        <f>-'Income Statement'!H7</f>
        <v/>
      </c>
    </row>
    <row r="7">
      <c r="B7" s="11" t="inlineStr">
        <is>
          <t>(-) Capex</t>
        </is>
      </c>
      <c r="C7" s="8">
        <f>-Assumptions!C8*Assumptions!C16</f>
        <v/>
      </c>
      <c r="D7" s="8">
        <f>-Assumptions!D8*Assumptions!D16</f>
        <v/>
      </c>
      <c r="E7" s="8">
        <f>-Assumptions!E8*Assumptions!E16</f>
        <v/>
      </c>
      <c r="F7" s="8">
        <f>-Assumptions!F8*Assumptions!F16</f>
        <v/>
      </c>
      <c r="G7" s="8">
        <f>-Assumptions!G8*Assumptions!G16</f>
        <v/>
      </c>
      <c r="H7" s="8">
        <f>-Assumptions!H8*Assumptions!H16</f>
        <v/>
      </c>
    </row>
    <row r="8">
      <c r="B8" s="11" t="inlineStr">
        <is>
          <t>(-) Change in working capital</t>
        </is>
      </c>
      <c r="C8" s="8">
        <f>-Assumptions!C8*Assumptions!C17</f>
        <v/>
      </c>
      <c r="D8" s="8">
        <f>-Assumptions!D8*Assumptions!D17</f>
        <v/>
      </c>
      <c r="E8" s="8">
        <f>-Assumptions!E8*Assumptions!E17</f>
        <v/>
      </c>
      <c r="F8" s="8">
        <f>-Assumptions!F8*Assumptions!F17</f>
        <v/>
      </c>
      <c r="G8" s="8">
        <f>-Assumptions!G8*Assumptions!G17</f>
        <v/>
      </c>
      <c r="H8" s="8">
        <f>-Assumptions!H8*Assumptions!H17</f>
        <v/>
      </c>
    </row>
    <row r="9">
      <c r="B9" s="6" t="inlineStr">
        <is>
          <t>Free Cash Flow</t>
        </is>
      </c>
      <c r="C9" s="14">
        <f>SUM(C5:C8)</f>
        <v/>
      </c>
      <c r="D9" s="14">
        <f>SUM(D5:D8)</f>
        <v/>
      </c>
      <c r="E9" s="14">
        <f>SUM(E5:E8)</f>
        <v/>
      </c>
      <c r="F9" s="14">
        <f>SUM(F5:F8)</f>
        <v/>
      </c>
      <c r="G9" s="14">
        <f>SUM(G5:G8)</f>
        <v/>
      </c>
      <c r="H9" s="14">
        <f>SUM(H5:H8)</f>
        <v/>
      </c>
    </row>
    <row r="11">
      <c r="B11" s="2" t="inlineStr">
        <is>
          <t>Year (t)</t>
        </is>
      </c>
      <c r="C11" s="16" t="n">
        <v>0</v>
      </c>
      <c r="D11" s="16" t="n">
        <v>1</v>
      </c>
      <c r="E11" s="16" t="n">
        <v>2</v>
      </c>
      <c r="F11" s="16" t="n">
        <v>3</v>
      </c>
      <c r="G11" s="16" t="n">
        <v>4</v>
      </c>
      <c r="H11" s="16" t="n">
        <v>5</v>
      </c>
    </row>
    <row r="12">
      <c r="B12" s="2" t="inlineStr">
        <is>
          <t>Discount factor 1/(1+WACC)^t</t>
        </is>
      </c>
      <c r="C12" s="17">
        <f>1/((1+Assumptions!$C$21)^C11)</f>
        <v/>
      </c>
      <c r="D12" s="17">
        <f>1/((1+Assumptions!$C$21)^D11)</f>
        <v/>
      </c>
      <c r="E12" s="17">
        <f>1/((1+Assumptions!$C$21)^E11)</f>
        <v/>
      </c>
      <c r="F12" s="17">
        <f>1/((1+Assumptions!$C$21)^F11)</f>
        <v/>
      </c>
      <c r="G12" s="17">
        <f>1/((1+Assumptions!$C$21)^G11)</f>
        <v/>
      </c>
      <c r="H12" s="17">
        <f>1/((1+Assumptions!$C$21)^H11)</f>
        <v/>
      </c>
    </row>
    <row r="13">
      <c r="B13" s="6" t="inlineStr">
        <is>
          <t>PV of FCF</t>
        </is>
      </c>
      <c r="C13" s="14">
        <f>C9*C12</f>
        <v/>
      </c>
      <c r="D13" s="14">
        <f>D9*D12</f>
        <v/>
      </c>
      <c r="E13" s="14">
        <f>E9*E12</f>
        <v/>
      </c>
      <c r="F13" s="14">
        <f>F9*F12</f>
        <v/>
      </c>
      <c r="G13" s="14">
        <f>G9*G12</f>
        <v/>
      </c>
      <c r="H13" s="14">
        <f>H9*H12</f>
        <v/>
      </c>
    </row>
    <row r="15">
      <c r="B15" s="6" t="inlineStr">
        <is>
          <t>Sum of PV(FCF) [excludes 2024A]</t>
        </is>
      </c>
      <c r="C15" s="14">
        <f>SUM(D13:H13)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Weighted Average Cost of Capital</t>
        </is>
      </c>
    </row>
    <row r="4">
      <c r="B4" s="3" t="inlineStr">
        <is>
          <t>Cost of equity (CAPM)</t>
        </is>
      </c>
      <c r="C4" s="4" t="n"/>
      <c r="D4" s="4" t="n"/>
      <c r="E4" s="4" t="n"/>
      <c r="F4" s="4" t="n"/>
      <c r="G4" s="4" t="n"/>
      <c r="H4" s="4" t="n"/>
    </row>
    <row r="5">
      <c r="B5" s="11" t="inlineStr">
        <is>
          <t>Risk-free rate (DK 10Y govt yield)</t>
        </is>
      </c>
      <c r="C5" s="18" t="n">
        <v>0.025</v>
      </c>
    </row>
    <row r="6">
      <c r="B6" s="11" t="inlineStr">
        <is>
          <t>Equity risk premium</t>
        </is>
      </c>
      <c r="C6" s="18" t="n">
        <v>0.055</v>
      </c>
    </row>
    <row r="7">
      <c r="B7" s="11" t="inlineStr">
        <is>
          <t>Beta (5Y vs OMX)</t>
        </is>
      </c>
      <c r="C7" s="19" t="n">
        <v>1.05</v>
      </c>
    </row>
    <row r="8">
      <c r="B8" s="6" t="inlineStr">
        <is>
          <t>Cost of equity Ke = Rf + Beta * ERP</t>
        </is>
      </c>
      <c r="C8" s="20">
        <f>C5+C7*C6</f>
        <v/>
      </c>
    </row>
    <row r="10">
      <c r="B10" s="3" t="inlineStr">
        <is>
          <t>After-tax cost of debt</t>
        </is>
      </c>
      <c r="C10" s="4" t="n"/>
      <c r="D10" s="4" t="n"/>
      <c r="E10" s="4" t="n"/>
      <c r="F10" s="4" t="n"/>
      <c r="G10" s="4" t="n"/>
      <c r="H10" s="4" t="n"/>
    </row>
    <row r="11">
      <c r="B11" s="11" t="inlineStr">
        <is>
          <t>Pre-tax cost of debt</t>
        </is>
      </c>
      <c r="C11" s="18" t="n">
        <v>0.04</v>
      </c>
    </row>
    <row r="12">
      <c r="B12" s="11" t="inlineStr">
        <is>
          <t>Tax rate</t>
        </is>
      </c>
      <c r="C12" s="21">
        <f>Assumptions!C12</f>
        <v/>
      </c>
    </row>
    <row r="13">
      <c r="B13" s="6" t="inlineStr">
        <is>
          <t>Cost of debt Kd = Pre-tax * (1 - tax)</t>
        </is>
      </c>
      <c r="C13" s="20">
        <f>C11*(1-C12)</f>
        <v/>
      </c>
    </row>
    <row r="14">
      <c r="B14" s="3" t="inlineStr">
        <is>
          <t>WACC</t>
        </is>
      </c>
      <c r="C14" s="4" t="n"/>
      <c r="D14" s="4" t="n"/>
      <c r="E14" s="4" t="n"/>
      <c r="F14" s="4" t="n"/>
      <c r="G14" s="4" t="n"/>
      <c r="H14" s="4" t="n"/>
    </row>
    <row r="15">
      <c r="B15" s="6" t="inlineStr">
        <is>
          <t>WACC = E/V * Ke + D/V * Kd</t>
        </is>
      </c>
      <c r="C15" s="22">
        <f>0.6*C8+0.4*C13</f>
        <v/>
      </c>
    </row>
    <row r="17">
      <c r="B17" s="2" t="inlineStr">
        <is>
          <t>Note: Equity-to-debt weights set illustratively. In a real engagement, use market value of equity vs net debt at valuation 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Enterprise and Equity Valuation (DKK bn)</t>
        </is>
      </c>
    </row>
    <row r="4">
      <c r="B4" s="3" t="inlineStr">
        <is>
          <t>Enterprise value bridge</t>
        </is>
      </c>
      <c r="C4" s="4" t="n"/>
      <c r="D4" s="4" t="n"/>
      <c r="E4" s="4" t="n"/>
      <c r="F4" s="4" t="n"/>
      <c r="G4" s="4" t="n"/>
      <c r="H4" s="4" t="n"/>
    </row>
    <row r="5">
      <c r="B5" s="11" t="inlineStr">
        <is>
          <t>Sum of PV(forecast FCFs)</t>
        </is>
      </c>
      <c r="C5" s="7">
        <f>'Free Cash Flow'!C15</f>
        <v/>
      </c>
    </row>
    <row r="6">
      <c r="B6" s="11" t="inlineStr">
        <is>
          <t>Terminal FCF (year 5 * (1+g))</t>
        </is>
      </c>
      <c r="C6" s="8">
        <f>'Free Cash Flow'!H9*(1+Assumptions!C20)</f>
        <v/>
      </c>
    </row>
    <row r="7">
      <c r="B7" s="11" t="inlineStr">
        <is>
          <t>Terminal value at end-2029</t>
        </is>
      </c>
      <c r="C7" s="8">
        <f>C6/(Assumptions!C21-Assumptions!C20)</f>
        <v/>
      </c>
    </row>
    <row r="8">
      <c r="B8" s="11" t="inlineStr">
        <is>
          <t>PV of terminal value</t>
        </is>
      </c>
      <c r="C8" s="7">
        <f>C7*'Free Cash Flow'!H12</f>
        <v/>
      </c>
    </row>
    <row r="9">
      <c r="B9" s="6" t="inlineStr">
        <is>
          <t>Enterprise Value</t>
        </is>
      </c>
      <c r="C9" s="14">
        <f>C5+C8</f>
        <v/>
      </c>
    </row>
    <row r="10">
      <c r="B10" s="11" t="inlineStr">
        <is>
          <t>(-) Net debt</t>
        </is>
      </c>
      <c r="C10" s="8">
        <f>-Assumptions!C24</f>
        <v/>
      </c>
    </row>
    <row r="11">
      <c r="B11" s="6" t="inlineStr">
        <is>
          <t>Equity Value (DKK bn)</t>
        </is>
      </c>
      <c r="C11" s="14">
        <f>C9+C10</f>
        <v/>
      </c>
    </row>
    <row r="12">
      <c r="B12" s="11" t="inlineStr">
        <is>
          <t>Diluted shares outstanding (millions)</t>
        </is>
      </c>
      <c r="C12" s="8">
        <f>Assumptions!C25</f>
        <v/>
      </c>
    </row>
    <row r="13">
      <c r="B13" s="6" t="inlineStr">
        <is>
          <t>Implied price per share (DKK)</t>
        </is>
      </c>
      <c r="C13" s="23">
        <f>C11*1000/C12</f>
        <v/>
      </c>
    </row>
    <row r="15">
      <c r="B15" s="2" t="inlineStr">
        <is>
          <t>Disclaimer: this is a teaching DCF using illustrative inputs. The implied price is not an investment recommendation.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Sensitivity: implied share price vs WACC and terminal growth</t>
        </is>
      </c>
    </row>
    <row r="4">
      <c r="B4" s="2" t="inlineStr">
        <is>
          <t>Top axis: terminal growth rate (g). Left axis: WACC.</t>
        </is>
      </c>
    </row>
    <row r="6">
      <c r="B6" s="6" t="inlineStr">
        <is>
          <t>WACC \ g</t>
        </is>
      </c>
      <c r="C6" s="24" t="n">
        <v>0.01</v>
      </c>
      <c r="D6" s="24" t="n">
        <v>0.015</v>
      </c>
      <c r="E6" s="24" t="n">
        <v>0.02</v>
      </c>
      <c r="F6" s="24" t="n">
        <v>0.025</v>
      </c>
      <c r="G6" s="24" t="n">
        <v>0.03</v>
      </c>
    </row>
    <row r="7">
      <c r="B7" s="25" t="n">
        <v>0.06</v>
      </c>
      <c r="C7" s="26">
        <f>((('Free Cash Flow'!D9/((1+B7)^1))+('Free Cash Flow'!E9/((1+B7)^2))+('Free Cash Flow'!F9/((1+B7)^3))+('Free Cash Flow'!G9/((1+B7)^4))+('Free Cash Flow'!H9/((1+B7)^5)))+(('Free Cash Flow'!H9*(1+0.01))/(B7-0.01))/((1+B7)^5)-Assumptions!$C$24)*1000/Assumptions!$C$25</f>
        <v/>
      </c>
      <c r="D7" s="26">
        <f>((('Free Cash Flow'!D9/((1+B7)^1))+('Free Cash Flow'!E9/((1+B7)^2))+('Free Cash Flow'!F9/((1+B7)^3))+('Free Cash Flow'!G9/((1+B7)^4))+('Free Cash Flow'!H9/((1+B7)^5)))+(('Free Cash Flow'!H9*(1+0.015))/(B7-0.015))/((1+B7)^5)-Assumptions!$C$24)*1000/Assumptions!$C$25</f>
        <v/>
      </c>
      <c r="E7" s="26">
        <f>((('Free Cash Flow'!D9/((1+B7)^1))+('Free Cash Flow'!E9/((1+B7)^2))+('Free Cash Flow'!F9/((1+B7)^3))+('Free Cash Flow'!G9/((1+B7)^4))+('Free Cash Flow'!H9/((1+B7)^5)))+(('Free Cash Flow'!H9*(1+0.02))/(B7-0.02))/((1+B7)^5)-Assumptions!$C$24)*1000/Assumptions!$C$25</f>
        <v/>
      </c>
      <c r="F7" s="26">
        <f>((('Free Cash Flow'!D9/((1+B7)^1))+('Free Cash Flow'!E9/((1+B7)^2))+('Free Cash Flow'!F9/((1+B7)^3))+('Free Cash Flow'!G9/((1+B7)^4))+('Free Cash Flow'!H9/((1+B7)^5)))+(('Free Cash Flow'!H9*(1+0.025))/(B7-0.025))/((1+B7)^5)-Assumptions!$C$24)*1000/Assumptions!$C$25</f>
        <v/>
      </c>
      <c r="G7" s="26">
        <f>((('Free Cash Flow'!D9/((1+B7)^1))+('Free Cash Flow'!E9/((1+B7)^2))+('Free Cash Flow'!F9/((1+B7)^3))+('Free Cash Flow'!G9/((1+B7)^4))+('Free Cash Flow'!H9/((1+B7)^5)))+(('Free Cash Flow'!H9*(1+0.03))/(B7-0.03))/((1+B7)^5)-Assumptions!$C$24)*1000/Assumptions!$C$25</f>
        <v/>
      </c>
    </row>
    <row r="8">
      <c r="B8" s="25" t="n">
        <v>0.065</v>
      </c>
      <c r="C8" s="26">
        <f>((('Free Cash Flow'!D9/((1+B8)^1))+('Free Cash Flow'!E9/((1+B8)^2))+('Free Cash Flow'!F9/((1+B8)^3))+('Free Cash Flow'!G9/((1+B8)^4))+('Free Cash Flow'!H9/((1+B8)^5)))+(('Free Cash Flow'!H9*(1+0.01))/(B8-0.01))/((1+B8)^5)-Assumptions!$C$24)*1000/Assumptions!$C$25</f>
        <v/>
      </c>
      <c r="D8" s="26">
        <f>((('Free Cash Flow'!D9/((1+B8)^1))+('Free Cash Flow'!E9/((1+B8)^2))+('Free Cash Flow'!F9/((1+B8)^3))+('Free Cash Flow'!G9/((1+B8)^4))+('Free Cash Flow'!H9/((1+B8)^5)))+(('Free Cash Flow'!H9*(1+0.015))/(B8-0.015))/((1+B8)^5)-Assumptions!$C$24)*1000/Assumptions!$C$25</f>
        <v/>
      </c>
      <c r="E8" s="26">
        <f>((('Free Cash Flow'!D9/((1+B8)^1))+('Free Cash Flow'!E9/((1+B8)^2))+('Free Cash Flow'!F9/((1+B8)^3))+('Free Cash Flow'!G9/((1+B8)^4))+('Free Cash Flow'!H9/((1+B8)^5)))+(('Free Cash Flow'!H9*(1+0.02))/(B8-0.02))/((1+B8)^5)-Assumptions!$C$24)*1000/Assumptions!$C$25</f>
        <v/>
      </c>
      <c r="F8" s="26">
        <f>((('Free Cash Flow'!D9/((1+B8)^1))+('Free Cash Flow'!E9/((1+B8)^2))+('Free Cash Flow'!F9/((1+B8)^3))+('Free Cash Flow'!G9/((1+B8)^4))+('Free Cash Flow'!H9/((1+B8)^5)))+(('Free Cash Flow'!H9*(1+0.025))/(B8-0.025))/((1+B8)^5)-Assumptions!$C$24)*1000/Assumptions!$C$25</f>
        <v/>
      </c>
      <c r="G8" s="26">
        <f>((('Free Cash Flow'!D9/((1+B8)^1))+('Free Cash Flow'!E9/((1+B8)^2))+('Free Cash Flow'!F9/((1+B8)^3))+('Free Cash Flow'!G9/((1+B8)^4))+('Free Cash Flow'!H9/((1+B8)^5)))+(('Free Cash Flow'!H9*(1+0.03))/(B8-0.03))/((1+B8)^5)-Assumptions!$C$24)*1000/Assumptions!$C$25</f>
        <v/>
      </c>
    </row>
    <row r="9">
      <c r="B9" s="25" t="n">
        <v>0.07000000000000001</v>
      </c>
      <c r="C9" s="26">
        <f>((('Free Cash Flow'!D9/((1+B9)^1))+('Free Cash Flow'!E9/((1+B9)^2))+('Free Cash Flow'!F9/((1+B9)^3))+('Free Cash Flow'!G9/((1+B9)^4))+('Free Cash Flow'!H9/((1+B9)^5)))+(('Free Cash Flow'!H9*(1+0.01))/(B9-0.01))/((1+B9)^5)-Assumptions!$C$24)*1000/Assumptions!$C$25</f>
        <v/>
      </c>
      <c r="D9" s="26">
        <f>((('Free Cash Flow'!D9/((1+B9)^1))+('Free Cash Flow'!E9/((1+B9)^2))+('Free Cash Flow'!F9/((1+B9)^3))+('Free Cash Flow'!G9/((1+B9)^4))+('Free Cash Flow'!H9/((1+B9)^5)))+(('Free Cash Flow'!H9*(1+0.015))/(B9-0.015))/((1+B9)^5)-Assumptions!$C$24)*1000/Assumptions!$C$25</f>
        <v/>
      </c>
      <c r="E9" s="26">
        <f>((('Free Cash Flow'!D9/((1+B9)^1))+('Free Cash Flow'!E9/((1+B9)^2))+('Free Cash Flow'!F9/((1+B9)^3))+('Free Cash Flow'!G9/((1+B9)^4))+('Free Cash Flow'!H9/((1+B9)^5)))+(('Free Cash Flow'!H9*(1+0.02))/(B9-0.02))/((1+B9)^5)-Assumptions!$C$24)*1000/Assumptions!$C$25</f>
        <v/>
      </c>
      <c r="F9" s="26">
        <f>((('Free Cash Flow'!D9/((1+B9)^1))+('Free Cash Flow'!E9/((1+B9)^2))+('Free Cash Flow'!F9/((1+B9)^3))+('Free Cash Flow'!G9/((1+B9)^4))+('Free Cash Flow'!H9/((1+B9)^5)))+(('Free Cash Flow'!H9*(1+0.025))/(B9-0.025))/((1+B9)^5)-Assumptions!$C$24)*1000/Assumptions!$C$25</f>
        <v/>
      </c>
      <c r="G9" s="26">
        <f>((('Free Cash Flow'!D9/((1+B9)^1))+('Free Cash Flow'!E9/((1+B9)^2))+('Free Cash Flow'!F9/((1+B9)^3))+('Free Cash Flow'!G9/((1+B9)^4))+('Free Cash Flow'!H9/((1+B9)^5)))+(('Free Cash Flow'!H9*(1+0.03))/(B9-0.03))/((1+B9)^5)-Assumptions!$C$24)*1000/Assumptions!$C$25</f>
        <v/>
      </c>
    </row>
    <row r="10">
      <c r="B10" s="25" t="n">
        <v>0.075</v>
      </c>
      <c r="C10" s="26">
        <f>((('Free Cash Flow'!D9/((1+B10)^1))+('Free Cash Flow'!E9/((1+B10)^2))+('Free Cash Flow'!F9/((1+B10)^3))+('Free Cash Flow'!G9/((1+B10)^4))+('Free Cash Flow'!H9/((1+B10)^5)))+(('Free Cash Flow'!H9*(1+0.01))/(B10-0.01))/((1+B10)^5)-Assumptions!$C$24)*1000/Assumptions!$C$25</f>
        <v/>
      </c>
      <c r="D10" s="26">
        <f>((('Free Cash Flow'!D9/((1+B10)^1))+('Free Cash Flow'!E9/((1+B10)^2))+('Free Cash Flow'!F9/((1+B10)^3))+('Free Cash Flow'!G9/((1+B10)^4))+('Free Cash Flow'!H9/((1+B10)^5)))+(('Free Cash Flow'!H9*(1+0.015))/(B10-0.015))/((1+B10)^5)-Assumptions!$C$24)*1000/Assumptions!$C$25</f>
        <v/>
      </c>
      <c r="E10" s="26">
        <f>((('Free Cash Flow'!D9/((1+B10)^1))+('Free Cash Flow'!E9/((1+B10)^2))+('Free Cash Flow'!F9/((1+B10)^3))+('Free Cash Flow'!G9/((1+B10)^4))+('Free Cash Flow'!H9/((1+B10)^5)))+(('Free Cash Flow'!H9*(1+0.02))/(B10-0.02))/((1+B10)^5)-Assumptions!$C$24)*1000/Assumptions!$C$25</f>
        <v/>
      </c>
      <c r="F10" s="26">
        <f>((('Free Cash Flow'!D9/((1+B10)^1))+('Free Cash Flow'!E9/((1+B10)^2))+('Free Cash Flow'!F9/((1+B10)^3))+('Free Cash Flow'!G9/((1+B10)^4))+('Free Cash Flow'!H9/((1+B10)^5)))+(('Free Cash Flow'!H9*(1+0.025))/(B10-0.025))/((1+B10)^5)-Assumptions!$C$24)*1000/Assumptions!$C$25</f>
        <v/>
      </c>
      <c r="G10" s="26">
        <f>((('Free Cash Flow'!D9/((1+B10)^1))+('Free Cash Flow'!E9/((1+B10)^2))+('Free Cash Flow'!F9/((1+B10)^3))+('Free Cash Flow'!G9/((1+B10)^4))+('Free Cash Flow'!H9/((1+B10)^5)))+(('Free Cash Flow'!H9*(1+0.03))/(B10-0.03))/((1+B10)^5)-Assumptions!$C$24)*1000/Assumptions!$C$25</f>
        <v/>
      </c>
    </row>
    <row r="11">
      <c r="B11" s="25" t="n">
        <v>0.08</v>
      </c>
      <c r="C11" s="26">
        <f>((('Free Cash Flow'!D9/((1+B11)^1))+('Free Cash Flow'!E9/((1+B11)^2))+('Free Cash Flow'!F9/((1+B11)^3))+('Free Cash Flow'!G9/((1+B11)^4))+('Free Cash Flow'!H9/((1+B11)^5)))+(('Free Cash Flow'!H9*(1+0.01))/(B11-0.01))/((1+B11)^5)-Assumptions!$C$24)*1000/Assumptions!$C$25</f>
        <v/>
      </c>
      <c r="D11" s="26">
        <f>((('Free Cash Flow'!D9/((1+B11)^1))+('Free Cash Flow'!E9/((1+B11)^2))+('Free Cash Flow'!F9/((1+B11)^3))+('Free Cash Flow'!G9/((1+B11)^4))+('Free Cash Flow'!H9/((1+B11)^5)))+(('Free Cash Flow'!H9*(1+0.015))/(B11-0.015))/((1+B11)^5)-Assumptions!$C$24)*1000/Assumptions!$C$25</f>
        <v/>
      </c>
      <c r="E11" s="26">
        <f>((('Free Cash Flow'!D9/((1+B11)^1))+('Free Cash Flow'!E9/((1+B11)^2))+('Free Cash Flow'!F9/((1+B11)^3))+('Free Cash Flow'!G9/((1+B11)^4))+('Free Cash Flow'!H9/((1+B11)^5)))+(('Free Cash Flow'!H9*(1+0.02))/(B11-0.02))/((1+B11)^5)-Assumptions!$C$24)*1000/Assumptions!$C$25</f>
        <v/>
      </c>
      <c r="F11" s="26">
        <f>((('Free Cash Flow'!D9/((1+B11)^1))+('Free Cash Flow'!E9/((1+B11)^2))+('Free Cash Flow'!F9/((1+B11)^3))+('Free Cash Flow'!G9/((1+B11)^4))+('Free Cash Flow'!H9/((1+B11)^5)))+(('Free Cash Flow'!H9*(1+0.025))/(B11-0.025))/((1+B11)^5)-Assumptions!$C$24)*1000/Assumptions!$C$25</f>
        <v/>
      </c>
      <c r="G11" s="26">
        <f>((('Free Cash Flow'!D9/((1+B11)^1))+('Free Cash Flow'!E9/((1+B11)^2))+('Free Cash Flow'!F9/((1+B11)^3))+('Free Cash Flow'!G9/((1+B11)^4))+('Free Cash Flow'!H9/((1+B11)^5)))+(('Free Cash Flow'!H9*(1+0.03))/(B11-0.03))/((1+B11)^5)-Assumptions!$C$24)*1000/Assumptions!$C$25</f>
        <v/>
      </c>
    </row>
    <row r="14">
      <c r="B14" s="2" t="inlineStr">
        <is>
          <t>Read: each cell = implied DKK share price under that combination of WACC and terminal growth.</t>
        </is>
      </c>
    </row>
  </sheetData>
  <conditionalFormatting sqref="C7:G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2026-05-10T07:54:30Z</dcterms:created>
  <dcterms:modified xmlns:dcterms="http://purl.org/dc/terms/" xmlns:xsi="http://www.w3.org/2001/XMLSchema-instance" xsi:type="dcterms:W3CDTF">2026-05-10T07:54:30Z</dcterms:modified>
</cp:coreProperties>
</file>