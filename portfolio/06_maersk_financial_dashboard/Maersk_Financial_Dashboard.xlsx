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&quot;B&quot;"/>
    <numFmt numFmtId="165" formatCode="0.0%"/>
    <numFmt numFmtId="166" formatCode="#,##0.0"/>
  </numFmts>
  <fonts count="10">
    <font>
      <name val="Calibri"/>
      <family val="2"/>
      <color theme="1"/>
      <sz val="11"/>
      <scheme val="minor"/>
    </font>
    <font>
      <b val="1"/>
      <color rgb="00FFFFFF"/>
    </font>
    <font>
      <name val="Calibri"/>
      <b val="1"/>
      <color rgb="001F3864"/>
      <sz val="18"/>
    </font>
    <font>
      <name val="Calibri"/>
      <i val="1"/>
      <color rgb="00777777"/>
      <sz val="10"/>
    </font>
    <font>
      <b val="1"/>
      <color rgb="00FFFFFF"/>
      <sz val="10"/>
    </font>
    <font>
      <b val="1"/>
      <color rgb="001F3864"/>
      <sz val="16"/>
    </font>
    <font>
      <b val="1"/>
      <color rgb="001F3864"/>
      <sz val="11"/>
    </font>
    <font>
      <b val="1"/>
    </font>
    <font>
      <b val="1"/>
      <color rgb="001F3864"/>
      <sz val="12"/>
    </font>
    <font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164" fontId="5" fillId="3" borderId="0" applyAlignment="1" pivotButton="0" quotePrefix="0" xfId="0">
      <alignment horizontal="center"/>
    </xf>
    <xf numFmtId="165" fontId="5" fillId="3" borderId="0" applyAlignment="1" pivotButton="0" quotePrefix="0" xfId="0">
      <alignment horizontal="center"/>
    </xf>
    <xf numFmtId="0" fontId="6" fillId="0" borderId="0" pivotButton="0" quotePrefix="0" xfId="0"/>
    <xf numFmtId="0" fontId="1" fillId="2" borderId="0" applyAlignment="1" pivotButton="0" quotePrefix="0" xfId="0">
      <alignment horizontal="center"/>
    </xf>
    <xf numFmtId="0" fontId="7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revenue and profitability (USD bn)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'Dashboard'!C12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'Dashboard'!$B$13:$B$19</f>
            </numRef>
          </cat>
          <val>
            <numRef>
              <f>'Dashboard'!$C$13:$C$19</f>
            </numRef>
          </val>
        </ser>
        <ser>
          <idx val="1"/>
          <order val="1"/>
          <tx>
            <strRef>
              <f>'Dashboard'!D12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'Dashboard'!$B$13:$B$19</f>
            </numRef>
          </cat>
          <val>
            <numRef>
              <f>'Dashboard'!$D$13:$D$19</f>
            </numRef>
          </val>
        </ser>
        <ser>
          <idx val="2"/>
          <order val="2"/>
          <tx>
            <strRef>
              <f>'Dashboard'!E12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'Dashboard'!$B$13:$B$19</f>
            </numRef>
          </cat>
          <val>
            <numRef>
              <f>'Dashboard'!$E$13:$E$19</f>
            </numRef>
          </val>
        </ser>
        <ser>
          <idx val="3"/>
          <order val="3"/>
          <tx>
            <strRef>
              <f>'Dashboard'!F12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'Dashboard'!$B$13:$B$19</f>
            </numRef>
          </cat>
          <val>
            <numRef>
              <f>'Dashboard'!$F$13:$F$19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bn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Margin evolution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'Dashboard'!C23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'Dashboard'!$B$24:$B$30</f>
            </numRef>
          </cat>
          <val>
            <numRef>
              <f>'Dashboard'!$C$24:$C$30</f>
            </numRef>
          </val>
        </ser>
        <ser>
          <idx val="1"/>
          <order val="1"/>
          <tx>
            <strRef>
              <f>'Dashboard'!D23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'Dashboard'!$B$24:$B$30</f>
            </numRef>
          </cat>
          <val>
            <numRef>
              <f>'Dashboard'!$D$24:$D$30</f>
            </numRef>
          </val>
        </ser>
        <ser>
          <idx val="2"/>
          <order val="2"/>
          <tx>
            <strRef>
              <f>'Dashboard'!E23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'Dashboard'!$B$24:$B$30</f>
            </numRef>
          </cat>
          <val>
            <numRef>
              <f>'Dashboard'!$E$24:$E$30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Margin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10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21</row>
      <rowOff>0</rowOff>
    </from>
    <ext cx="64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2" customWidth="1" min="4" max="4"/>
    <col width="14" customWidth="1" min="5" max="5"/>
    <col width="16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Year</t>
        </is>
      </c>
      <c r="B1" s="1" t="inlineStr">
        <is>
          <t>Revenue_USDbn</t>
        </is>
      </c>
      <c r="C1" s="1" t="inlineStr">
        <is>
          <t>EBITDA_USDbn</t>
        </is>
      </c>
      <c r="D1" s="1" t="inlineStr">
        <is>
          <t>EBIT_USDbn</t>
        </is>
      </c>
      <c r="E1" s="1" t="inlineStr">
        <is>
          <t>NetIncome_USDbn</t>
        </is>
      </c>
      <c r="F1" s="1" t="inlineStr">
        <is>
          <t>FreeCashFlow_USDbn</t>
        </is>
      </c>
      <c r="G1" s="1" t="inlineStr">
        <is>
          <t>Capex_USDbn</t>
        </is>
      </c>
      <c r="H1" s="1" t="inlineStr">
        <is>
          <t>NetDebt_USDbn</t>
        </is>
      </c>
      <c r="I1" s="1" t="inlineStr">
        <is>
          <t>Vessels</t>
        </is>
      </c>
      <c r="J1" s="1" t="inlineStr">
        <is>
          <t>TEU_Millions</t>
        </is>
      </c>
      <c r="K1" s="1" t="inlineStr">
        <is>
          <t>Headcount</t>
        </is>
      </c>
    </row>
    <row r="2">
      <c r="A2" t="n">
        <v>2018</v>
      </c>
      <c r="B2" t="n">
        <v>39</v>
      </c>
      <c r="C2" t="n">
        <v>3</v>
      </c>
      <c r="D2" t="n">
        <v>1</v>
      </c>
      <c r="E2" t="n">
        <v>3.2</v>
      </c>
      <c r="F2" t="n">
        <v>1.4</v>
      </c>
      <c r="G2" t="n">
        <v>2.1</v>
      </c>
      <c r="H2" t="n">
        <v>8.699999999999999</v>
      </c>
      <c r="I2" t="n">
        <v>787</v>
      </c>
      <c r="J2" t="n">
        <v>13.3</v>
      </c>
      <c r="K2" t="n">
        <v>88000</v>
      </c>
    </row>
    <row r="3">
      <c r="A3" t="n">
        <v>2019</v>
      </c>
      <c r="B3" t="n">
        <v>38.9</v>
      </c>
      <c r="C3" t="n">
        <v>5.7</v>
      </c>
      <c r="D3" t="n">
        <v>1.2</v>
      </c>
      <c r="E3" t="n">
        <v>-0.04</v>
      </c>
      <c r="F3" t="n">
        <v>2.3</v>
      </c>
      <c r="G3" t="n">
        <v>2</v>
      </c>
      <c r="H3" t="n">
        <v>11.7</v>
      </c>
      <c r="I3" t="n">
        <v>707</v>
      </c>
      <c r="J3" t="n">
        <v>13.3</v>
      </c>
      <c r="K3" t="n">
        <v>83000</v>
      </c>
    </row>
    <row r="4">
      <c r="A4" t="n">
        <v>2020</v>
      </c>
      <c r="B4" t="n">
        <v>39.7</v>
      </c>
      <c r="C4" t="n">
        <v>8.199999999999999</v>
      </c>
      <c r="D4" t="n">
        <v>4.2</v>
      </c>
      <c r="E4" t="n">
        <v>2.9</v>
      </c>
      <c r="F4" t="n">
        <v>4.6</v>
      </c>
      <c r="G4" t="n">
        <v>1.3</v>
      </c>
      <c r="H4" t="n">
        <v>9.1</v>
      </c>
      <c r="I4" t="n">
        <v>734</v>
      </c>
      <c r="J4" t="n">
        <v>13</v>
      </c>
      <c r="K4" t="n">
        <v>80000</v>
      </c>
    </row>
    <row r="5">
      <c r="A5" t="n">
        <v>2021</v>
      </c>
      <c r="B5" t="n">
        <v>61.8</v>
      </c>
      <c r="C5" t="n">
        <v>24</v>
      </c>
      <c r="D5" t="n">
        <v>19.7</v>
      </c>
      <c r="E5" t="n">
        <v>18</v>
      </c>
      <c r="F5" t="n">
        <v>16.5</v>
      </c>
      <c r="G5" t="n">
        <v>2.1</v>
      </c>
      <c r="H5" t="n">
        <v>1.3</v>
      </c>
      <c r="I5" t="n">
        <v>738</v>
      </c>
      <c r="J5" t="n">
        <v>13.1</v>
      </c>
      <c r="K5" t="n">
        <v>95000</v>
      </c>
    </row>
    <row r="6">
      <c r="A6" t="n">
        <v>2022</v>
      </c>
      <c r="B6" t="n">
        <v>81.5</v>
      </c>
      <c r="C6" t="n">
        <v>36.8</v>
      </c>
      <c r="D6" t="n">
        <v>30.9</v>
      </c>
      <c r="E6" t="n">
        <v>29.3</v>
      </c>
      <c r="F6" t="n">
        <v>23.2</v>
      </c>
      <c r="G6" t="n">
        <v>3.8</v>
      </c>
      <c r="H6" t="n">
        <v>-10</v>
      </c>
      <c r="I6" t="n">
        <v>715</v>
      </c>
      <c r="J6" t="n">
        <v>11.9</v>
      </c>
      <c r="K6" t="n">
        <v>110000</v>
      </c>
    </row>
    <row r="7">
      <c r="A7" t="n">
        <v>2023</v>
      </c>
      <c r="B7" t="n">
        <v>51.1</v>
      </c>
      <c r="C7" t="n">
        <v>8.4</v>
      </c>
      <c r="D7" t="n">
        <v>1</v>
      </c>
      <c r="E7" t="n">
        <v>3.8</v>
      </c>
      <c r="F7" t="n">
        <v>2.7</v>
      </c>
      <c r="G7" t="n">
        <v>5.7</v>
      </c>
      <c r="H7" t="n">
        <v>3.2</v>
      </c>
      <c r="I7" t="n">
        <v>707</v>
      </c>
      <c r="J7" t="n">
        <v>11.8</v>
      </c>
      <c r="K7" t="n">
        <v>103000</v>
      </c>
    </row>
    <row r="8">
      <c r="A8" t="n">
        <v>2024</v>
      </c>
      <c r="B8" t="n">
        <v>55.5</v>
      </c>
      <c r="C8" t="n">
        <v>12.2</v>
      </c>
      <c r="D8" t="n">
        <v>6.5</v>
      </c>
      <c r="E8" t="n">
        <v>6.1</v>
      </c>
      <c r="F8" t="n">
        <v>3.5</v>
      </c>
      <c r="G8" t="n">
        <v>4.6</v>
      </c>
      <c r="H8" t="n">
        <v>8.1</v>
      </c>
      <c r="I8" t="n">
        <v>689</v>
      </c>
      <c r="J8" t="n">
        <v>12.4</v>
      </c>
      <c r="K8" t="n">
        <v>100000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3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2">
      <c r="B2" s="2" t="inlineStr">
        <is>
          <t>A.P. Møller-Maersk — Financial Dashboard 2018–2024</t>
        </is>
      </c>
    </row>
    <row r="3">
      <c r="B3" s="3" t="inlineStr">
        <is>
          <t>Source: Maersk Annual Reports 2018-2024 (investor.maersk.com)</t>
        </is>
      </c>
    </row>
    <row r="4">
      <c r="B4" s="3" t="inlineStr">
        <is>
          <t>Author: Md Nazmul Islam Ishan  ·  Portfolio project</t>
        </is>
      </c>
    </row>
    <row r="6">
      <c r="B6" s="4" t="inlineStr">
        <is>
          <t>2024 Revenue (USDbn)</t>
        </is>
      </c>
      <c r="D6" s="4" t="inlineStr">
        <is>
          <t>2024 EBITDA (USDbn)</t>
        </is>
      </c>
      <c r="F6" s="4" t="inlineStr">
        <is>
          <t>2024 Net Income (USDbn)</t>
        </is>
      </c>
      <c r="H6" s="4" t="inlineStr">
        <is>
          <t>2024 FCF (USDbn)</t>
        </is>
      </c>
      <c r="J6" s="4" t="inlineStr">
        <is>
          <t>EBITDA margin 2024</t>
        </is>
      </c>
    </row>
    <row r="7">
      <c r="B7" s="5" t="n">
        <v>55.5</v>
      </c>
      <c r="D7" s="5" t="n">
        <v>12.2</v>
      </c>
      <c r="F7" s="5" t="n">
        <v>6.1</v>
      </c>
      <c r="H7" s="5" t="n">
        <v>3.5</v>
      </c>
      <c r="J7" s="6">
        <f>12.2/55.5</f>
        <v/>
      </c>
    </row>
    <row r="8"/>
    <row r="11">
      <c r="B11" s="7" t="inlineStr">
        <is>
          <t>Annual metrics</t>
        </is>
      </c>
    </row>
    <row r="12">
      <c r="B12" s="8" t="inlineStr">
        <is>
          <t>Year</t>
        </is>
      </c>
      <c r="C12" s="8" t="inlineStr">
        <is>
          <t>Revenue</t>
        </is>
      </c>
      <c r="D12" s="8" t="inlineStr">
        <is>
          <t>EBITDA</t>
        </is>
      </c>
      <c r="E12" s="8" t="inlineStr">
        <is>
          <t>EBIT</t>
        </is>
      </c>
      <c r="F12" s="8" t="inlineStr">
        <is>
          <t>Net Income</t>
        </is>
      </c>
    </row>
    <row r="13">
      <c r="B13" s="9" t="n">
        <v>2018</v>
      </c>
      <c r="C13" s="10" t="n">
        <v>39</v>
      </c>
      <c r="D13" s="10" t="n">
        <v>3</v>
      </c>
      <c r="E13" s="10" t="n">
        <v>1</v>
      </c>
      <c r="F13" s="10" t="n">
        <v>3.2</v>
      </c>
    </row>
    <row r="14">
      <c r="B14" s="9" t="n">
        <v>2019</v>
      </c>
      <c r="C14" s="10" t="n">
        <v>38.9</v>
      </c>
      <c r="D14" s="10" t="n">
        <v>5.7</v>
      </c>
      <c r="E14" s="10" t="n">
        <v>1.2</v>
      </c>
      <c r="F14" s="10" t="n">
        <v>-0.04</v>
      </c>
    </row>
    <row r="15">
      <c r="B15" s="9" t="n">
        <v>2020</v>
      </c>
      <c r="C15" s="10" t="n">
        <v>39.7</v>
      </c>
      <c r="D15" s="10" t="n">
        <v>8.199999999999999</v>
      </c>
      <c r="E15" s="10" t="n">
        <v>4.2</v>
      </c>
      <c r="F15" s="10" t="n">
        <v>2.9</v>
      </c>
    </row>
    <row r="16">
      <c r="B16" s="9" t="n">
        <v>2021</v>
      </c>
      <c r="C16" s="10" t="n">
        <v>61.8</v>
      </c>
      <c r="D16" s="10" t="n">
        <v>24</v>
      </c>
      <c r="E16" s="10" t="n">
        <v>19.7</v>
      </c>
      <c r="F16" s="10" t="n">
        <v>18</v>
      </c>
    </row>
    <row r="17">
      <c r="B17" s="9" t="n">
        <v>2022</v>
      </c>
      <c r="C17" s="10" t="n">
        <v>81.5</v>
      </c>
      <c r="D17" s="10" t="n">
        <v>36.8</v>
      </c>
      <c r="E17" s="10" t="n">
        <v>30.9</v>
      </c>
      <c r="F17" s="10" t="n">
        <v>29.3</v>
      </c>
    </row>
    <row r="18">
      <c r="B18" s="9" t="n">
        <v>2023</v>
      </c>
      <c r="C18" s="10" t="n">
        <v>51.1</v>
      </c>
      <c r="D18" s="10" t="n">
        <v>8.4</v>
      </c>
      <c r="E18" s="10" t="n">
        <v>1</v>
      </c>
      <c r="F18" s="10" t="n">
        <v>3.8</v>
      </c>
    </row>
    <row r="19">
      <c r="B19" s="9" t="n">
        <v>2024</v>
      </c>
      <c r="C19" s="10" t="n">
        <v>55.5</v>
      </c>
      <c r="D19" s="10" t="n">
        <v>12.2</v>
      </c>
      <c r="E19" s="10" t="n">
        <v>6.5</v>
      </c>
      <c r="F19" s="10" t="n">
        <v>6.1</v>
      </c>
    </row>
    <row r="22">
      <c r="B22" s="7" t="inlineStr">
        <is>
          <t>Profitability margins</t>
        </is>
      </c>
    </row>
    <row r="23">
      <c r="B23" s="8" t="inlineStr">
        <is>
          <t>Year</t>
        </is>
      </c>
      <c r="C23" s="8" t="inlineStr">
        <is>
          <t>EBITDA margin</t>
        </is>
      </c>
      <c r="D23" s="8" t="inlineStr">
        <is>
          <t>EBIT margin</t>
        </is>
      </c>
      <c r="E23" s="8" t="inlineStr">
        <is>
          <t>Net margin</t>
        </is>
      </c>
    </row>
    <row r="24">
      <c r="B24" s="9" t="n">
        <v>2018</v>
      </c>
      <c r="C24" s="11" t="n">
        <v>0.07692307692307693</v>
      </c>
      <c r="D24" s="11" t="n">
        <v>0.02564102564102564</v>
      </c>
      <c r="E24" s="11" t="n">
        <v>0.08205128205128205</v>
      </c>
    </row>
    <row r="25">
      <c r="B25" s="9" t="n">
        <v>2019</v>
      </c>
      <c r="C25" s="11" t="n">
        <v>0.1465295629820051</v>
      </c>
      <c r="D25" s="11" t="n">
        <v>0.03084832904884319</v>
      </c>
      <c r="E25" s="11" t="n">
        <v>-0.00102827763496144</v>
      </c>
    </row>
    <row r="26">
      <c r="B26" s="9" t="n">
        <v>2020</v>
      </c>
      <c r="C26" s="11" t="n">
        <v>0.2065491183879093</v>
      </c>
      <c r="D26" s="11" t="n">
        <v>0.1057934508816121</v>
      </c>
      <c r="E26" s="11" t="n">
        <v>0.07304785894206549</v>
      </c>
    </row>
    <row r="27">
      <c r="B27" s="9" t="n">
        <v>2021</v>
      </c>
      <c r="C27" s="11" t="n">
        <v>0.3883495145631068</v>
      </c>
      <c r="D27" s="11" t="n">
        <v>0.3187702265372168</v>
      </c>
      <c r="E27" s="11" t="n">
        <v>0.2912621359223301</v>
      </c>
    </row>
    <row r="28">
      <c r="B28" s="9" t="n">
        <v>2022</v>
      </c>
      <c r="C28" s="11" t="n">
        <v>0.4515337423312883</v>
      </c>
      <c r="D28" s="11" t="n">
        <v>0.3791411042944785</v>
      </c>
      <c r="E28" s="11" t="n">
        <v>0.3595092024539878</v>
      </c>
    </row>
    <row r="29">
      <c r="B29" s="9" t="n">
        <v>2023</v>
      </c>
      <c r="C29" s="11" t="n">
        <v>0.1643835616438356</v>
      </c>
      <c r="D29" s="11" t="n">
        <v>0.01956947162426614</v>
      </c>
      <c r="E29" s="11" t="n">
        <v>0.07436399217221135</v>
      </c>
    </row>
    <row r="30">
      <c r="B30" s="9" t="n">
        <v>2024</v>
      </c>
      <c r="C30" s="11" t="n">
        <v>0.2198198198198198</v>
      </c>
      <c r="D30" s="11" t="n">
        <v>0.1171171171171171</v>
      </c>
      <c r="E30" s="11" t="n">
        <v>0.1099099099099099</v>
      </c>
    </row>
    <row r="34">
      <c r="B34" s="12" t="inlineStr">
        <is>
          <t>Key observations</t>
        </is>
      </c>
    </row>
    <row r="35">
      <c r="B35" s="13" t="inlineStr">
        <is>
          <t>• Revenue more than doubled from $39B (2018) to $81B (2022) on the COVID-era container shipping boom</t>
        </is>
      </c>
    </row>
    <row r="36">
      <c r="B36" s="13" t="inlineStr">
        <is>
          <t>• EBITDA margin peaked at 45% in 2022 — historically unprecedented for shipping, has since normalised to 22% in 2024</t>
        </is>
      </c>
    </row>
    <row r="37">
      <c r="B37" s="13" t="inlineStr">
        <is>
          <t>• Net debt swung from $11.7B (2019) to -$10.0B net cash (2022), now back to $8.1B as capital is deployed into terminals and logistics</t>
        </is>
      </c>
    </row>
    <row r="38">
      <c r="B38" s="13" t="inlineStr">
        <is>
          <t>• Vessel fleet has shrunk from 787 to 689 as Maersk pivots from pure shipping to integrated logistics services</t>
        </is>
      </c>
    </row>
    <row r="39">
      <c r="B39" s="13" t="inlineStr">
        <is>
          <t>• Capex stepped up materially from 2022 onwards (2018: $2.1B → 2024: $4.6B) reflecting logistics investments</t>
        </is>
      </c>
    </row>
  </sheetData>
  <mergeCells count="15">
    <mergeCell ref="D6:E6"/>
    <mergeCell ref="B6:C6"/>
    <mergeCell ref="B38:M38"/>
    <mergeCell ref="H6:I6"/>
    <mergeCell ref="D7:E8"/>
    <mergeCell ref="B7:C8"/>
    <mergeCell ref="J6:K6"/>
    <mergeCell ref="B37:M37"/>
    <mergeCell ref="H7:I8"/>
    <mergeCell ref="F7:G8"/>
    <mergeCell ref="B36:M36"/>
    <mergeCell ref="J7:K8"/>
    <mergeCell ref="F6:G6"/>
    <mergeCell ref="B35:M35"/>
    <mergeCell ref="B39:M3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2026-05-18T01:00:27Z</dcterms:created>
  <dcterms:modified xmlns:dcterms="http://purl.org/dc/terms/" xmlns:xsi="http://www.w3.org/2001/XMLSchema-instance" xsi:type="dcterms:W3CDTF">2026-05-18T01:00:27Z</dcterms:modified>
</cp:coreProperties>
</file>